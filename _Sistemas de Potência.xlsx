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Fontes Bibliográficas\Sistemas Elétricos\"/>
    </mc:Choice>
  </mc:AlternateContent>
  <xr:revisionPtr revIDLastSave="0" documentId="13_ncr:1_{755A0381-D195-4A11-9591-177EB509AA5F}" xr6:coauthVersionLast="47" xr6:coauthVersionMax="47" xr10:uidLastSave="{00000000-0000-0000-0000-000000000000}"/>
  <bookViews>
    <workbookView xWindow="-120" yWindow="-120" windowWidth="29040" windowHeight="15720" activeTab="1" xr2:uid="{5E105221-1455-4E3C-82CB-E7597EF285A6}"/>
  </bookViews>
  <sheets>
    <sheet name="pu" sheetId="1" r:id="rId1"/>
    <sheet name="polar_retangula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H35" i="1"/>
  <c r="I13" i="2"/>
  <c r="I11" i="2"/>
  <c r="H21" i="1"/>
  <c r="H19" i="1"/>
  <c r="H24" i="1" s="1"/>
  <c r="H15" i="1"/>
  <c r="H26" i="1" s="1"/>
  <c r="H16" i="1"/>
  <c r="H7" i="1"/>
  <c r="H8" i="1"/>
  <c r="H33" i="1" l="1"/>
  <c r="H23" i="1"/>
  <c r="H27" i="1"/>
  <c r="I7" i="2"/>
  <c r="H22" i="1"/>
  <c r="H32" i="1"/>
  <c r="H25" i="1" l="1"/>
  <c r="H30" i="1" s="1"/>
</calcChain>
</file>

<file path=xl/sharedStrings.xml><?xml version="1.0" encoding="utf-8"?>
<sst xmlns="http://schemas.openxmlformats.org/spreadsheetml/2006/main" count="93" uniqueCount="58">
  <si>
    <t>UNID.</t>
  </si>
  <si>
    <t>CARACTERÍSTICA</t>
  </si>
  <si>
    <t>SIMB.</t>
  </si>
  <si>
    <t>VALOR</t>
  </si>
  <si>
    <r>
      <t>S</t>
    </r>
    <r>
      <rPr>
        <vertAlign val="subscript"/>
        <sz val="10"/>
        <color theme="1"/>
        <rFont val="Arial Narrow"/>
        <family val="2"/>
      </rPr>
      <t>1Φ</t>
    </r>
  </si>
  <si>
    <t>kVA</t>
  </si>
  <si>
    <t>kV</t>
  </si>
  <si>
    <r>
      <t>U</t>
    </r>
    <r>
      <rPr>
        <vertAlign val="subscript"/>
        <sz val="10"/>
        <color theme="1"/>
        <rFont val="Arial Narrow"/>
        <family val="2"/>
      </rPr>
      <t>LN</t>
    </r>
  </si>
  <si>
    <t>01.</t>
  </si>
  <si>
    <t>Sistema Por Unidade (pu)</t>
  </si>
  <si>
    <t>●</t>
  </si>
  <si>
    <t>I</t>
  </si>
  <si>
    <r>
      <t>S</t>
    </r>
    <r>
      <rPr>
        <vertAlign val="subscript"/>
        <sz val="10"/>
        <color theme="1"/>
        <rFont val="Arial Narrow"/>
        <family val="2"/>
      </rPr>
      <t>1Φ (base)</t>
    </r>
  </si>
  <si>
    <r>
      <t>U</t>
    </r>
    <r>
      <rPr>
        <vertAlign val="subscript"/>
        <sz val="10"/>
        <color theme="1"/>
        <rFont val="Arial Narrow"/>
        <family val="2"/>
      </rPr>
      <t>LN (base)</t>
    </r>
  </si>
  <si>
    <r>
      <t>I</t>
    </r>
    <r>
      <rPr>
        <vertAlign val="subscript"/>
        <sz val="10"/>
        <color theme="1"/>
        <rFont val="Arial Narrow"/>
        <family val="2"/>
      </rPr>
      <t>(base)</t>
    </r>
  </si>
  <si>
    <t>A</t>
  </si>
  <si>
    <t>Potência monofásica (base)</t>
  </si>
  <si>
    <t>Corrente (base)</t>
  </si>
  <si>
    <t>Impedância (base)</t>
  </si>
  <si>
    <r>
      <t>Z</t>
    </r>
    <r>
      <rPr>
        <vertAlign val="subscript"/>
        <sz val="10"/>
        <color theme="1"/>
        <rFont val="Arial Narrow"/>
        <family val="2"/>
      </rPr>
      <t>(base)</t>
    </r>
  </si>
  <si>
    <t>Ω</t>
  </si>
  <si>
    <r>
      <t>Z</t>
    </r>
    <r>
      <rPr>
        <vertAlign val="subscript"/>
        <sz val="10"/>
        <color theme="1"/>
        <rFont val="Arial Narrow"/>
        <family val="2"/>
      </rPr>
      <t>(pu)</t>
    </r>
  </si>
  <si>
    <t>Características Base</t>
  </si>
  <si>
    <t>02.</t>
  </si>
  <si>
    <t>Características Atual do Sistema</t>
  </si>
  <si>
    <t>Potência monofásica</t>
  </si>
  <si>
    <t>Corrente</t>
  </si>
  <si>
    <t>Impedância</t>
  </si>
  <si>
    <t>Z</t>
  </si>
  <si>
    <r>
      <t>U</t>
    </r>
    <r>
      <rPr>
        <vertAlign val="subscript"/>
        <sz val="10"/>
        <color theme="1"/>
        <rFont val="Arial Narrow"/>
        <family val="2"/>
      </rPr>
      <t>LL</t>
    </r>
  </si>
  <si>
    <t>Tensão de Fase (linha-neutro)</t>
  </si>
  <si>
    <t>Tensão de Linha (linha-linha)</t>
  </si>
  <si>
    <t>Potência trifásica (base)</t>
  </si>
  <si>
    <r>
      <t>S</t>
    </r>
    <r>
      <rPr>
        <vertAlign val="subscript"/>
        <sz val="10"/>
        <color theme="1"/>
        <rFont val="Arial Narrow"/>
        <family val="2"/>
      </rPr>
      <t>3Φ (base)</t>
    </r>
  </si>
  <si>
    <t>Tensão de Fase (base)</t>
  </si>
  <si>
    <t>Tensão de Linha (base)</t>
  </si>
  <si>
    <r>
      <t>U</t>
    </r>
    <r>
      <rPr>
        <vertAlign val="subscript"/>
        <sz val="10"/>
        <color theme="1"/>
        <rFont val="Arial Narrow"/>
        <family val="2"/>
      </rPr>
      <t>LL (base)</t>
    </r>
  </si>
  <si>
    <r>
      <t>U</t>
    </r>
    <r>
      <rPr>
        <vertAlign val="subscript"/>
        <sz val="10"/>
        <color theme="1"/>
        <rFont val="Arial Narrow"/>
        <family val="2"/>
      </rPr>
      <t>LL (pu)</t>
    </r>
  </si>
  <si>
    <t>Impedância por unidade</t>
  </si>
  <si>
    <t>Tensão de Linha por unidade</t>
  </si>
  <si>
    <t>Tensão de Fase por unidade</t>
  </si>
  <si>
    <r>
      <t>U</t>
    </r>
    <r>
      <rPr>
        <vertAlign val="subscript"/>
        <sz val="10"/>
        <color theme="1"/>
        <rFont val="Arial Narrow"/>
        <family val="2"/>
      </rPr>
      <t>LN (pu)</t>
    </r>
  </si>
  <si>
    <t>NOTAS IMPORTANTES:</t>
  </si>
  <si>
    <t>No sistema Por Unidade kW = kVA.</t>
  </si>
  <si>
    <t>Fasor</t>
  </si>
  <si>
    <t>r</t>
  </si>
  <si>
    <t>θ</t>
  </si>
  <si>
    <t>º</t>
  </si>
  <si>
    <t>Retangular - Polar</t>
  </si>
  <si>
    <t>Polar - Retangular</t>
  </si>
  <si>
    <t>Exponencial</t>
  </si>
  <si>
    <t>Retangular</t>
  </si>
  <si>
    <t>CARACTERÍSTICAS</t>
  </si>
  <si>
    <t>x</t>
  </si>
  <si>
    <t>y</t>
  </si>
  <si>
    <t>03.</t>
  </si>
  <si>
    <t>Mudança de Base</t>
  </si>
  <si>
    <t>Impedância por unidade (base nova)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</si>
</sst>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#,##0.0000"/>
  </numFmts>
  <fonts count="4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vertAlign val="subscript"/>
      <sz val="10"/>
      <color theme="1"/>
      <name val="Arial Narrow"/>
      <family val="2"/>
    </font>
    <font>
      <sz val="10"/>
      <color rgb="FF7030A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/>
    <xf numFmtId="165" fontId="0" fillId="2" borderId="0" xfId="0" applyNumberForma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166" fontId="0" fillId="2" borderId="0" xfId="0" applyNumberFormat="1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</xdr:colOff>
      <xdr:row>2</xdr:row>
      <xdr:rowOff>142875</xdr:rowOff>
    </xdr:from>
    <xdr:ext cx="7707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37ED5923-840A-A2A7-0209-4F7AD613907E}"/>
                </a:ext>
              </a:extLst>
            </xdr:cNvPr>
            <xdr:cNvSpPr txBox="1"/>
          </xdr:nvSpPr>
          <xdr:spPr>
            <a:xfrm>
              <a:off x="5376862" y="466725"/>
              <a:ext cx="7707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𝑗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37ED5923-840A-A2A7-0209-4F7AD613907E}"/>
                </a:ext>
              </a:extLst>
            </xdr:cNvPr>
            <xdr:cNvSpPr txBox="1"/>
          </xdr:nvSpPr>
          <xdr:spPr>
            <a:xfrm>
              <a:off x="5376862" y="466725"/>
              <a:ext cx="7707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𝑧=𝑥+𝑗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∙𝑦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11</xdr:col>
      <xdr:colOff>42862</xdr:colOff>
      <xdr:row>4</xdr:row>
      <xdr:rowOff>152400</xdr:rowOff>
    </xdr:from>
    <xdr:ext cx="5296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F09FE4C-59F3-5427-74CB-99F74B939A4F}"/>
                </a:ext>
              </a:extLst>
            </xdr:cNvPr>
            <xdr:cNvSpPr txBox="1"/>
          </xdr:nvSpPr>
          <xdr:spPr>
            <a:xfrm>
              <a:off x="5376862" y="800100"/>
              <a:ext cx="529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∠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F09FE4C-59F3-5427-74CB-99F74B939A4F}"/>
                </a:ext>
              </a:extLst>
            </xdr:cNvPr>
            <xdr:cNvSpPr txBox="1"/>
          </xdr:nvSpPr>
          <xdr:spPr>
            <a:xfrm>
              <a:off x="5376862" y="800100"/>
              <a:ext cx="5296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𝑧=𝑟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∠𝜃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11</xdr:col>
      <xdr:colOff>33337</xdr:colOff>
      <xdr:row>6</xdr:row>
      <xdr:rowOff>114300</xdr:rowOff>
    </xdr:from>
    <xdr:ext cx="975267" cy="2081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9AEAE5A2-137C-B196-1950-59E7DA53E9E0}"/>
                </a:ext>
              </a:extLst>
            </xdr:cNvPr>
            <xdr:cNvSpPr txBox="1"/>
          </xdr:nvSpPr>
          <xdr:spPr>
            <a:xfrm>
              <a:off x="5367337" y="1085850"/>
              <a:ext cx="975267" cy="208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</m:ra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9AEAE5A2-137C-B196-1950-59E7DA53E9E0}"/>
                </a:ext>
              </a:extLst>
            </xdr:cNvPr>
            <xdr:cNvSpPr txBox="1"/>
          </xdr:nvSpPr>
          <xdr:spPr>
            <a:xfrm>
              <a:off x="5367337" y="1085850"/>
              <a:ext cx="975267" cy="2081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𝑟=√((𝑥^2+𝑦^2 ) 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11</xdr:col>
      <xdr:colOff>14287</xdr:colOff>
      <xdr:row>8</xdr:row>
      <xdr:rowOff>95250</xdr:rowOff>
    </xdr:from>
    <xdr:ext cx="1011494" cy="2898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E3781067-0E80-7C76-4D82-5CF4DC15A62A}"/>
                </a:ext>
              </a:extLst>
            </xdr:cNvPr>
            <xdr:cNvSpPr txBox="1"/>
          </xdr:nvSpPr>
          <xdr:spPr>
            <a:xfrm>
              <a:off x="5348287" y="1390650"/>
              <a:ext cx="1011494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𝑎𝑟𝑐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𝑡𝑎𝑔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𝑦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E3781067-0E80-7C76-4D82-5CF4DC15A62A}"/>
                </a:ext>
              </a:extLst>
            </xdr:cNvPr>
            <xdr:cNvSpPr txBox="1"/>
          </xdr:nvSpPr>
          <xdr:spPr>
            <a:xfrm>
              <a:off x="5348287" y="1390650"/>
              <a:ext cx="1011494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=𝑎𝑟𝑐 𝑡𝑎𝑔(𝑦/𝑥)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14</xdr:col>
      <xdr:colOff>42862</xdr:colOff>
      <xdr:row>2</xdr:row>
      <xdr:rowOff>152400</xdr:rowOff>
    </xdr:from>
    <xdr:ext cx="77239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8E926EEB-F48E-8969-5002-5947A857F04A}"/>
                </a:ext>
              </a:extLst>
            </xdr:cNvPr>
            <xdr:cNvSpPr txBox="1"/>
          </xdr:nvSpPr>
          <xdr:spPr>
            <a:xfrm>
              <a:off x="6977062" y="476250"/>
              <a:ext cx="7723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unc>
                      <m:func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8E926EEB-F48E-8969-5002-5947A857F04A}"/>
                </a:ext>
              </a:extLst>
            </xdr:cNvPr>
            <xdr:cNvSpPr txBox="1"/>
          </xdr:nvSpPr>
          <xdr:spPr>
            <a:xfrm>
              <a:off x="6977062" y="476250"/>
              <a:ext cx="7723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𝑥=𝑟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∙cos⁡𝜃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4</xdr:row>
      <xdr:rowOff>152400</xdr:rowOff>
    </xdr:from>
    <xdr:ext cx="6666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7E1E0F7F-2B02-406A-924E-429E8187D23E}"/>
                </a:ext>
              </a:extLst>
            </xdr:cNvPr>
            <xdr:cNvSpPr txBox="1"/>
          </xdr:nvSpPr>
          <xdr:spPr>
            <a:xfrm>
              <a:off x="6991350" y="800100"/>
              <a:ext cx="6666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/>
                <a:t>y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 panose="02040503050406030204" pitchFamily="18" charset="0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𝑟</m:t>
                  </m:r>
                  <m:r>
                    <a:rPr lang="pt-BR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∙</m:t>
                  </m:r>
                  <m:func>
                    <m:funcPr>
                      <m:ctrlPr>
                        <a:rPr lang="pt-B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pt-BR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sin</m:t>
                      </m:r>
                    </m:fName>
                    <m:e>
                      <m:r>
                        <a:rPr lang="pt-B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e>
                  </m:func>
                </m:oMath>
              </a14:m>
              <a:endParaRPr lang="pt-BR" sz="1100"/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7E1E0F7F-2B02-406A-924E-429E8187D23E}"/>
                </a:ext>
              </a:extLst>
            </xdr:cNvPr>
            <xdr:cNvSpPr txBox="1"/>
          </xdr:nvSpPr>
          <xdr:spPr>
            <a:xfrm>
              <a:off x="6991350" y="800100"/>
              <a:ext cx="6666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/>
                <a:t>y</a:t>
              </a:r>
              <a:r>
                <a:rPr lang="pt-BR" sz="1100" b="0" i="0">
                  <a:latin typeface="Cambria Math" panose="02040503050406030204" pitchFamily="18" charset="0"/>
                </a:rPr>
                <a:t>=𝑟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∙sin⁡𝜃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17</xdr:col>
      <xdr:colOff>42862</xdr:colOff>
      <xdr:row>2</xdr:row>
      <xdr:rowOff>142875</xdr:rowOff>
    </xdr:from>
    <xdr:ext cx="657616" cy="1832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10665C0-A4A9-0A39-C7AF-BDCED681E9E5}"/>
                </a:ext>
              </a:extLst>
            </xdr:cNvPr>
            <xdr:cNvSpPr txBox="1"/>
          </xdr:nvSpPr>
          <xdr:spPr>
            <a:xfrm>
              <a:off x="8577262" y="466725"/>
              <a:ext cx="657616" cy="183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10665C0-A4A9-0A39-C7AF-BDCED681E9E5}"/>
                </a:ext>
              </a:extLst>
            </xdr:cNvPr>
            <xdr:cNvSpPr txBox="1"/>
          </xdr:nvSpPr>
          <xdr:spPr>
            <a:xfrm>
              <a:off x="8577262" y="466725"/>
              <a:ext cx="657616" cy="1832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𝑧=𝑟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∙𝑒^𝑗𝜃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63DC-3D6A-4467-A76A-20C0F9A224D4}">
  <dimension ref="A2:H44"/>
  <sheetViews>
    <sheetView workbookViewId="0">
      <selection activeCell="K10" sqref="K10"/>
    </sheetView>
  </sheetViews>
  <sheetFormatPr defaultRowHeight="12.75" x14ac:dyDescent="0.2"/>
  <cols>
    <col min="1" max="4" width="3.83203125" customWidth="1"/>
    <col min="5" max="5" width="35.83203125" customWidth="1"/>
    <col min="6" max="7" width="11.83203125" customWidth="1"/>
    <col min="8" max="8" width="12.83203125" customWidth="1"/>
  </cols>
  <sheetData>
    <row r="2" spans="1:8" x14ac:dyDescent="0.2">
      <c r="A2" s="12" t="s">
        <v>1</v>
      </c>
      <c r="B2" s="12"/>
      <c r="C2" s="12"/>
      <c r="D2" s="12"/>
      <c r="E2" s="12"/>
      <c r="F2" s="3" t="s">
        <v>2</v>
      </c>
      <c r="G2" s="3" t="s">
        <v>0</v>
      </c>
      <c r="H2" s="3" t="s">
        <v>3</v>
      </c>
    </row>
    <row r="4" spans="1:8" x14ac:dyDescent="0.2">
      <c r="A4" t="s">
        <v>8</v>
      </c>
      <c r="B4" t="s">
        <v>24</v>
      </c>
    </row>
    <row r="5" spans="1:8" ht="15.75" x14ac:dyDescent="0.2">
      <c r="B5" s="1" t="s">
        <v>10</v>
      </c>
      <c r="C5" t="s">
        <v>25</v>
      </c>
      <c r="F5" s="2" t="s">
        <v>4</v>
      </c>
      <c r="G5" s="2" t="s">
        <v>5</v>
      </c>
      <c r="H5" s="6">
        <v>500000</v>
      </c>
    </row>
    <row r="6" spans="1:8" ht="15.75" x14ac:dyDescent="0.2">
      <c r="B6" s="1" t="s">
        <v>10</v>
      </c>
      <c r="C6" t="s">
        <v>30</v>
      </c>
      <c r="F6" s="2" t="s">
        <v>7</v>
      </c>
      <c r="G6" s="2" t="s">
        <v>6</v>
      </c>
      <c r="H6" s="6"/>
    </row>
    <row r="7" spans="1:8" x14ac:dyDescent="0.2">
      <c r="B7" s="1"/>
      <c r="F7" s="2"/>
      <c r="G7" s="2"/>
      <c r="H7" s="7">
        <f>H9/SQRT(3)</f>
        <v>10.392304845413264</v>
      </c>
    </row>
    <row r="8" spans="1:8" ht="15.75" x14ac:dyDescent="0.2">
      <c r="B8" s="1" t="s">
        <v>10</v>
      </c>
      <c r="C8" t="s">
        <v>31</v>
      </c>
      <c r="F8" s="2" t="s">
        <v>29</v>
      </c>
      <c r="G8" s="2" t="s">
        <v>6</v>
      </c>
      <c r="H8" s="7">
        <f>H6*SQRT(3)</f>
        <v>0</v>
      </c>
    </row>
    <row r="9" spans="1:8" x14ac:dyDescent="0.2">
      <c r="B9" s="1"/>
      <c r="F9" s="2"/>
      <c r="G9" s="2"/>
      <c r="H9" s="6">
        <v>18</v>
      </c>
    </row>
    <row r="10" spans="1:8" x14ac:dyDescent="0.2">
      <c r="B10" s="1" t="s">
        <v>10</v>
      </c>
      <c r="C10" t="s">
        <v>26</v>
      </c>
      <c r="F10" t="s">
        <v>11</v>
      </c>
      <c r="G10" t="s">
        <v>15</v>
      </c>
      <c r="H10" s="6"/>
    </row>
    <row r="11" spans="1:8" x14ac:dyDescent="0.2">
      <c r="B11" s="1" t="s">
        <v>10</v>
      </c>
      <c r="C11" t="s">
        <v>27</v>
      </c>
      <c r="F11" t="s">
        <v>28</v>
      </c>
      <c r="G11" t="s">
        <v>20</v>
      </c>
      <c r="H11" s="6"/>
    </row>
    <row r="12" spans="1:8" x14ac:dyDescent="0.2">
      <c r="H12" s="8"/>
    </row>
    <row r="13" spans="1:8" x14ac:dyDescent="0.2">
      <c r="A13" s="2" t="s">
        <v>8</v>
      </c>
      <c r="B13" t="s">
        <v>22</v>
      </c>
      <c r="H13" s="8"/>
    </row>
    <row r="14" spans="1:8" ht="15.75" x14ac:dyDescent="0.2">
      <c r="B14" s="1" t="s">
        <v>10</v>
      </c>
      <c r="C14" t="s">
        <v>16</v>
      </c>
      <c r="F14" s="2" t="s">
        <v>12</v>
      </c>
      <c r="G14" s="2" t="s">
        <v>5</v>
      </c>
      <c r="H14" s="6">
        <v>100000</v>
      </c>
    </row>
    <row r="15" spans="1:8" x14ac:dyDescent="0.2">
      <c r="B15" s="1"/>
      <c r="F15" s="2"/>
      <c r="G15" s="2"/>
      <c r="H15" s="7">
        <f>H17/3</f>
        <v>0</v>
      </c>
    </row>
    <row r="16" spans="1:8" ht="15.75" x14ac:dyDescent="0.2">
      <c r="B16" s="1" t="s">
        <v>10</v>
      </c>
      <c r="C16" t="s">
        <v>32</v>
      </c>
      <c r="F16" s="2" t="s">
        <v>33</v>
      </c>
      <c r="G16" s="2" t="s">
        <v>5</v>
      </c>
      <c r="H16" s="7">
        <f>H14*3</f>
        <v>300000</v>
      </c>
    </row>
    <row r="17" spans="1:8" x14ac:dyDescent="0.2">
      <c r="B17" s="1"/>
      <c r="F17" s="2"/>
      <c r="G17" s="2"/>
      <c r="H17" s="6"/>
    </row>
    <row r="18" spans="1:8" ht="15.75" x14ac:dyDescent="0.2">
      <c r="B18" s="1" t="s">
        <v>10</v>
      </c>
      <c r="C18" t="s">
        <v>34</v>
      </c>
      <c r="F18" s="2" t="s">
        <v>13</v>
      </c>
      <c r="G18" s="2" t="s">
        <v>6</v>
      </c>
      <c r="H18" s="6"/>
    </row>
    <row r="19" spans="1:8" x14ac:dyDescent="0.2">
      <c r="B19" s="1"/>
      <c r="F19" s="2"/>
      <c r="G19" s="2"/>
      <c r="H19" s="7">
        <f>H20/SQRT(3)</f>
        <v>11.547005383792516</v>
      </c>
    </row>
    <row r="20" spans="1:8" ht="15.75" x14ac:dyDescent="0.2">
      <c r="B20" s="1" t="s">
        <v>10</v>
      </c>
      <c r="C20" t="s">
        <v>35</v>
      </c>
      <c r="F20" s="2" t="s">
        <v>36</v>
      </c>
      <c r="G20" s="2" t="s">
        <v>6</v>
      </c>
      <c r="H20" s="6">
        <v>20</v>
      </c>
    </row>
    <row r="21" spans="1:8" x14ac:dyDescent="0.2">
      <c r="B21" s="1"/>
      <c r="F21" s="2"/>
      <c r="G21" s="2"/>
      <c r="H21" s="7">
        <f>H18*SQRT(3)</f>
        <v>0</v>
      </c>
    </row>
    <row r="22" spans="1:8" ht="15.75" x14ac:dyDescent="0.3">
      <c r="B22" s="1" t="s">
        <v>10</v>
      </c>
      <c r="C22" t="s">
        <v>17</v>
      </c>
      <c r="F22" t="s">
        <v>14</v>
      </c>
      <c r="G22" t="s">
        <v>15</v>
      </c>
      <c r="H22" s="7">
        <f xml:space="preserve">
IF(AND(H14&gt;0,H18&gt;0),H14/H18,
IF(AND(H14&gt;0,H19&gt;0),H14/H19,
IF(AND(H15&gt;0,H18&gt;0),H15/H18,
IF(AND(H15&gt;0,H19&gt;0),H15/H19,
0))))</f>
        <v>8660.2540378443864</v>
      </c>
    </row>
    <row r="23" spans="1:8" x14ac:dyDescent="0.2">
      <c r="B23" s="1"/>
      <c r="H23" s="7">
        <f xml:space="preserve">
IF(AND(H16&gt;0,H20&gt;0),H16/(SQRT(3)*H20),
IF(AND(H16&gt;0,H21&gt;0),H16/(SQRT(3)*H21),
IF(AND(H17&gt;0,H20&gt;0),H17/(SQRT(3)*H20),
IF(AND(H17&gt;0,H21&gt;0),H17/(SQRT(3)*H21),
0))))</f>
        <v>8660.2540378443882</v>
      </c>
    </row>
    <row r="24" spans="1:8" x14ac:dyDescent="0.2">
      <c r="B24" s="1"/>
      <c r="H24" s="7">
        <f xml:space="preserve">
IF(AND(H18&gt;0,H28&gt;0),H18*1000/H28,
IF(AND(H19&gt;0,H28&gt;0),H19*1000/H28,
0))</f>
        <v>0</v>
      </c>
    </row>
    <row r="25" spans="1:8" ht="15.75" x14ac:dyDescent="0.3">
      <c r="B25" s="1" t="s">
        <v>10</v>
      </c>
      <c r="C25" t="s">
        <v>18</v>
      </c>
      <c r="F25" t="s">
        <v>19</v>
      </c>
      <c r="G25" t="s">
        <v>20</v>
      </c>
      <c r="H25" s="7">
        <f xml:space="preserve">
IF(AND(H18&gt;0,H22&gt;0),H18*1000/H22,
IF(AND(H18&gt;0,H23&gt;0),H18*1000/H23,
IF(AND(H19&gt;0,H22&gt;0),H19*1000/H22,
IF(AND(H19&gt;0,H23&gt;0),H19*1000/H23,
0))))</f>
        <v>1.3333333333333335</v>
      </c>
    </row>
    <row r="26" spans="1:8" x14ac:dyDescent="0.2">
      <c r="H26" s="7">
        <f xml:space="preserve">
IF(AND(H18&gt;0,H14&gt;0),POWER(H18,2)*1000/H14,
IF(AND(H18&gt;0,H15&gt;0),POWER(H18,2)*1000/H15,
IF(AND(H19&gt;0,H14&gt;0),POWER(H19,2)*1000/H14,
IF(AND(H19&gt;0,H15&gt;0),POWER(H19,2)*1000/H15,
0))))</f>
        <v>1.3333333333333337</v>
      </c>
    </row>
    <row r="27" spans="1:8" x14ac:dyDescent="0.2">
      <c r="H27" s="7">
        <f xml:space="preserve">
IF(AND(H20&gt;0,H16&gt;0),POWER(H20,2)*1000/H16,
IF(AND(H20&gt;0,H17&gt;0),POWER(H20,2)*1000/H17,
IF(AND(H21&gt;0,H16&gt;0),POWER(H21,2)*1000/H16,
IF(AND(H21&gt;0,H17&gt;0),POWER(H21,2)*1000/H17,
0))))</f>
        <v>1.3333333333333333</v>
      </c>
    </row>
    <row r="28" spans="1:8" x14ac:dyDescent="0.2">
      <c r="H28" s="6"/>
    </row>
    <row r="29" spans="1:8" x14ac:dyDescent="0.2">
      <c r="A29" s="2" t="s">
        <v>23</v>
      </c>
      <c r="B29" s="4" t="s">
        <v>9</v>
      </c>
      <c r="H29" s="8"/>
    </row>
    <row r="30" spans="1:8" ht="15.75" x14ac:dyDescent="0.3">
      <c r="B30" s="1" t="s">
        <v>10</v>
      </c>
      <c r="C30" t="s">
        <v>38</v>
      </c>
      <c r="F30" t="s">
        <v>21</v>
      </c>
      <c r="H30" s="7">
        <f xml:space="preserve">
IF(H25&gt;0,H11/H25,
IF(H26&gt;0,H11/H26,
0))</f>
        <v>0</v>
      </c>
    </row>
    <row r="31" spans="1:8" x14ac:dyDescent="0.2">
      <c r="B31" s="1"/>
      <c r="H31" s="6">
        <v>0.25</v>
      </c>
    </row>
    <row r="32" spans="1:8" ht="15.75" x14ac:dyDescent="0.2">
      <c r="B32" s="1" t="s">
        <v>10</v>
      </c>
      <c r="C32" t="s">
        <v>40</v>
      </c>
      <c r="F32" s="2" t="s">
        <v>41</v>
      </c>
      <c r="H32" s="7">
        <f xml:space="preserve">
IF(AND(H6&gt;0,H18&gt;0),H6/H18,
IF(AND(H6&gt;0,H19&gt;0),H6/H19,
IF(AND(H7&gt;0,H18&gt;0),H7/H18,
IF(AND(H7&gt;0,H19&gt;0),H7/H19,
0))))</f>
        <v>0.89999999999999991</v>
      </c>
    </row>
    <row r="33" spans="1:8" ht="15.75" x14ac:dyDescent="0.2">
      <c r="B33" s="1" t="s">
        <v>10</v>
      </c>
      <c r="C33" t="s">
        <v>39</v>
      </c>
      <c r="F33" s="2" t="s">
        <v>37</v>
      </c>
      <c r="H33" s="9">
        <f xml:space="preserve">
IF(AND(H8&gt;0,H20&gt;0),H8/H20,
IF(AND(H8&gt;0,H21&gt;0),H8/H21,
IF(AND(H9&gt;0,H20&gt;0),H9/H20,
IF(AND(H9&gt;0,H21&gt;0),H9/H21,
0))))</f>
        <v>0.9</v>
      </c>
    </row>
    <row r="34" spans="1:8" x14ac:dyDescent="0.2">
      <c r="A34" t="s">
        <v>55</v>
      </c>
      <c r="B34" s="2" t="s">
        <v>56</v>
      </c>
    </row>
    <row r="35" spans="1:8" ht="15.75" x14ac:dyDescent="0.3">
      <c r="B35" s="1" t="s">
        <v>10</v>
      </c>
      <c r="C35" t="s">
        <v>57</v>
      </c>
      <c r="F35" t="s">
        <v>21</v>
      </c>
      <c r="H35" s="5">
        <f>H31*(POWER(H9,2)*H14/(POWER(H20,2)*H5))</f>
        <v>4.0500000000000001E-2</v>
      </c>
    </row>
    <row r="42" spans="1:8" x14ac:dyDescent="0.2">
      <c r="A42" t="s">
        <v>42</v>
      </c>
    </row>
    <row r="43" spans="1:8" x14ac:dyDescent="0.2">
      <c r="A43" t="s">
        <v>8</v>
      </c>
      <c r="B43" t="s">
        <v>43</v>
      </c>
    </row>
    <row r="44" spans="1:8" x14ac:dyDescent="0.2">
      <c r="A44" t="s">
        <v>23</v>
      </c>
    </row>
  </sheetData>
  <mergeCells count="1">
    <mergeCell ref="A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839E-22EC-45EB-910A-CB20BF486C83}">
  <dimension ref="A2:R14"/>
  <sheetViews>
    <sheetView tabSelected="1" workbookViewId="0">
      <selection activeCell="I15" sqref="I15"/>
    </sheetView>
  </sheetViews>
  <sheetFormatPr defaultRowHeight="12.75" x14ac:dyDescent="0.2"/>
  <cols>
    <col min="1" max="5" width="3.83203125" customWidth="1"/>
    <col min="6" max="6" width="35.83203125" customWidth="1"/>
    <col min="7" max="8" width="11.83203125" customWidth="1"/>
    <col min="9" max="9" width="12.83203125" customWidth="1"/>
    <col min="14" max="14" width="5.83203125" customWidth="1"/>
    <col min="17" max="17" width="5.83203125" customWidth="1"/>
  </cols>
  <sheetData>
    <row r="2" spans="1:18" x14ac:dyDescent="0.2">
      <c r="A2" s="12" t="s">
        <v>52</v>
      </c>
      <c r="B2" s="12"/>
      <c r="C2" s="12"/>
      <c r="D2" s="12"/>
      <c r="E2" s="12"/>
      <c r="F2" s="12"/>
      <c r="G2" s="3" t="s">
        <v>2</v>
      </c>
      <c r="H2" s="3" t="s">
        <v>0</v>
      </c>
      <c r="I2" s="3" t="s">
        <v>3</v>
      </c>
      <c r="L2" t="s">
        <v>48</v>
      </c>
      <c r="O2" t="s">
        <v>49</v>
      </c>
      <c r="R2" t="s">
        <v>50</v>
      </c>
    </row>
    <row r="5" spans="1:18" x14ac:dyDescent="0.2">
      <c r="A5" s="2" t="s">
        <v>8</v>
      </c>
      <c r="B5" t="s">
        <v>44</v>
      </c>
    </row>
    <row r="6" spans="1:18" x14ac:dyDescent="0.2">
      <c r="B6" s="1" t="s">
        <v>10</v>
      </c>
      <c r="C6" t="s">
        <v>45</v>
      </c>
      <c r="I6" s="11">
        <v>1</v>
      </c>
    </row>
    <row r="7" spans="1:18" x14ac:dyDescent="0.2">
      <c r="B7" s="1"/>
      <c r="I7" s="10">
        <f>SQRT(POWER(I12,2)+POWER(I14,2))</f>
        <v>1.0506666931049069</v>
      </c>
    </row>
    <row r="8" spans="1:18" x14ac:dyDescent="0.2">
      <c r="B8" s="1" t="s">
        <v>10</v>
      </c>
      <c r="C8" t="s">
        <v>46</v>
      </c>
      <c r="H8" t="s">
        <v>47</v>
      </c>
      <c r="I8" s="11">
        <v>0</v>
      </c>
    </row>
    <row r="9" spans="1:18" x14ac:dyDescent="0.2">
      <c r="B9" s="1"/>
      <c r="H9" t="s">
        <v>47</v>
      </c>
      <c r="I9" s="10">
        <f xml:space="preserve">
IF(AND(I12&gt;0,I14&gt;0),ATAN(I14/I12)*180/PI(),
IF(AND(I12&gt;0,I14&lt;0),ATAN(I14/I12)*180/PI(),
IF(AND(I12&lt;0,I14&gt;0),180+ATAN(I14/I12)*180/PI(),
IF(AND(I12&lt;0,I14&lt;0),180+(ATAN(I14/I12)*180/PI()),
IF(AND(I12=0,I14&gt;0),90,
IF(AND(I12=0,I14&lt;0),270,
"erro"))))))</f>
        <v>2.7003723929742058</v>
      </c>
    </row>
    <row r="10" spans="1:18" x14ac:dyDescent="0.2">
      <c r="A10" t="s">
        <v>23</v>
      </c>
      <c r="B10" t="s">
        <v>51</v>
      </c>
    </row>
    <row r="11" spans="1:18" x14ac:dyDescent="0.2">
      <c r="B11" s="1" t="s">
        <v>10</v>
      </c>
      <c r="C11" t="s">
        <v>53</v>
      </c>
      <c r="I11" s="10">
        <f>I6*COS(RADIANS(I8))</f>
        <v>1</v>
      </c>
    </row>
    <row r="12" spans="1:18" x14ac:dyDescent="0.2">
      <c r="I12" s="11">
        <v>1.0495000000000001</v>
      </c>
    </row>
    <row r="13" spans="1:18" x14ac:dyDescent="0.2">
      <c r="B13" s="1" t="s">
        <v>10</v>
      </c>
      <c r="C13" t="s">
        <v>54</v>
      </c>
      <c r="I13" s="10">
        <f>I6*SIN(RADIANS(I8))</f>
        <v>0</v>
      </c>
    </row>
    <row r="14" spans="1:18" x14ac:dyDescent="0.2">
      <c r="I14" s="11">
        <v>4.9500000000000002E-2</v>
      </c>
    </row>
  </sheetData>
  <mergeCells count="1">
    <mergeCell ref="A2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</vt:lpstr>
      <vt:lpstr>polar_retangular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oooo</dc:creator>
  <cp:lastModifiedBy>oooo</cp:lastModifiedBy>
  <dcterms:created xsi:type="dcterms:W3CDTF">2024-10-19T16:12:49Z</dcterms:created>
  <dcterms:modified xsi:type="dcterms:W3CDTF">2024-10-27T22:46:43Z</dcterms:modified>
</cp:coreProperties>
</file>